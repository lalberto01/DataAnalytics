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sleyalberto\Documents\DataAnalytics\week-01\"/>
    </mc:Choice>
  </mc:AlternateContent>
  <xr:revisionPtr revIDLastSave="0" documentId="13_ncr:1_{DF30D63C-7C03-4689-B79E-739E76673E1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91028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D11" i="1"/>
  <c r="K12" i="1"/>
  <c r="K11" i="1"/>
  <c r="D2" i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<sst xmlns="http://schemas.openxmlformats.org/spreadsheetml/2006/main" count="47" uniqueCount="26">
  <si>
    <t>Id</t>
  </si>
  <si>
    <t>Start time</t>
  </si>
  <si>
    <t>Completion time</t>
  </si>
  <si>
    <t>Email</t>
  </si>
  <si>
    <t>Name</t>
  </si>
  <si>
    <t>How often do you visit our coffee shop?</t>
  </si>
  <si>
    <t xml:space="preserve">What could we do to improve your experience?
</t>
  </si>
  <si>
    <t xml:space="preserve">How would you rate your overall experience at our coffee shop?
</t>
  </si>
  <si>
    <t>How likely are you to recommend us to a friend or colleague?</t>
  </si>
  <si>
    <t>Would you be interested in a free rewards program?</t>
  </si>
  <si>
    <t>anonymous</t>
  </si>
  <si>
    <t>Daily</t>
  </si>
  <si>
    <t>Different flavor options</t>
  </si>
  <si>
    <t>Yes</t>
  </si>
  <si>
    <t>Weekly</t>
  </si>
  <si>
    <t>More seasonal drinks</t>
  </si>
  <si>
    <t xml:space="preserve">I cannot think of anything right now! You guys are great! </t>
  </si>
  <si>
    <t>More cushioned chairs</t>
  </si>
  <si>
    <t>Music</t>
  </si>
  <si>
    <t xml:space="preserve">Friendly customer service </t>
  </si>
  <si>
    <t>Monthly</t>
  </si>
  <si>
    <t>close shop</t>
  </si>
  <si>
    <t>No</t>
  </si>
  <si>
    <t>add more sweetener options plz</t>
  </si>
  <si>
    <t>Time to complete</t>
  </si>
  <si>
    <t>Sum of How likely are you to recommend us to a friend or colleague?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</si>
</sst>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22"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28" formatCode="mm:ss"/>
    </dxf>
    <dxf>
      <numFmt numFmtId="165" formatCode="mm/dd/yyyy\ hh:mm:ss"/>
    </dxf>
    <dxf>
      <numFmt numFmtId="165" formatCode="mm/dd/yyyy\ hh:mm:ss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Shop.xlsx]Sheet2!PivotTable1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798528058877645E-3"/>
              <c:y val="-0.1498371335504886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A6F0C5A-322F-4F90-BB4C-B78E83B9DA6C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 Yes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447102115915363"/>
                  <c:h val="0.2280130293159609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17-4AFF-8760-2EE0DB5CBA96}"/>
              </c:ext>
            </c:extLst>
          </c:dPt>
          <c:dLbls>
            <c:dLbl>
              <c:idx val="0"/>
              <c:layout>
                <c:manualLayout>
                  <c:x val="3.6798528058877645E-3"/>
                  <c:y val="-0.1498371335504886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A6F0C5A-322F-4F90-BB4C-B78E83B9DA6C}" type="VALUE">
                      <a:rPr lang="en-US"/>
                      <a:pPr>
                        <a:defRPr/>
                      </a:pPr>
                      <a:t>[VALUE]</a:t>
                    </a:fld>
                    <a:r>
                      <a:rPr lang="en-US"/>
                      <a:t> Yes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447102115915363"/>
                      <c:h val="0.228013029315960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817-4AFF-8760-2EE0DB5CBA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Sheet2!$A$4</c:f>
              <c:numCache>
                <c:formatCode>General</c:formatCode>
                <c:ptCount val="1"/>
                <c:pt idx="0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7-4AFF-8760-2EE0DB5CBA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78953849720029"/>
          <c:y val="0.5920013337095078"/>
          <c:w val="0.15421046150279974"/>
          <c:h val="0.11482161635333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120650</xdr:rowOff>
    </xdr:from>
    <xdr:to>
      <xdr:col>0</xdr:col>
      <xdr:colOff>3460750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8DC241-B472-725D-907C-1982A7FEE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sley alberto" refreshedDate="46121.986606481485" createdVersion="8" refreshedVersion="8" minRefreshableVersion="3" recordCount="9" xr:uid="{CC902E7C-AE85-475E-ABA5-53B14233A6C1}">
  <cacheSource type="worksheet">
    <worksheetSource name="OfficeForms.Table"/>
  </cacheSource>
  <cacheFields count="11">
    <cacheField name="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Start time" numFmtId="165">
      <sharedItems containsSemiMixedTypes="0" containsNonDate="0" containsDate="1" containsString="0" minDate="2026-04-07T22:49:39" maxDate="2026-04-09T14:43:45"/>
    </cacheField>
    <cacheField name="Completion time" numFmtId="165">
      <sharedItems containsSemiMixedTypes="0" containsNonDate="0" containsDate="1" containsString="0" minDate="2026-04-07T22:49:59" maxDate="2026-04-09T14:44:10"/>
    </cacheField>
    <cacheField name="Time to complete" numFmtId="45">
      <sharedItems containsSemiMixedTypes="0" containsNonDate="0" containsDate="1" containsString="0" minDate="1899-12-30T00:00:16" maxDate="1899-12-30T00:04:51"/>
    </cacheField>
    <cacheField name="Email" numFmtId="0">
      <sharedItems/>
    </cacheField>
    <cacheField name="Name" numFmtId="0">
      <sharedItems containsNonDate="0" containsString="0" containsBlank="1"/>
    </cacheField>
    <cacheField name="How often do you visit our coffee shop?" numFmtId="0">
      <sharedItems/>
    </cacheField>
    <cacheField name="What could we do to improve your experience?_x000a_" numFmtId="0">
      <sharedItems containsBlank="1"/>
    </cacheField>
    <cacheField name="How would you rate your overall experience at our coffee shop?_x000a_" numFmtId="0">
      <sharedItems containsSemiMixedTypes="0" containsString="0" containsNumber="1" containsInteger="1" minValue="1" maxValue="5"/>
    </cacheField>
    <cacheField name="How likely are you to recommend us to a friend or colleague?" numFmtId="0">
      <sharedItems containsSemiMixedTypes="0" containsString="0" containsNumber="1" containsInteger="1" minValue="0" maxValue="10"/>
    </cacheField>
    <cacheField name="Would you be interested in a free rewards program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4-07T22:49:39"/>
    <d v="2026-04-07T22:49:59"/>
    <d v="1899-12-30T00:00:20"/>
    <s v="anonymous"/>
    <m/>
    <s v="Daily"/>
    <s v="Different flavor options"/>
    <n v="5"/>
    <n v="10"/>
    <s v="Yes"/>
  </r>
  <r>
    <x v="1"/>
    <d v="2026-04-08T08:57:02"/>
    <d v="2026-04-08T08:57:44"/>
    <d v="1899-12-30T00:00:42"/>
    <s v="anonymous"/>
    <m/>
    <s v="Weekly"/>
    <s v="More seasonal drinks"/>
    <n v="4"/>
    <n v="8"/>
    <s v="Yes"/>
  </r>
  <r>
    <x v="2"/>
    <d v="2026-04-08T09:52:40"/>
    <d v="2026-04-08T09:53:21"/>
    <d v="1899-12-30T00:00:41"/>
    <s v="anonymous"/>
    <m/>
    <s v="Weekly"/>
    <s v="I cannot think of anything right now! You guys are great! "/>
    <n v="5"/>
    <n v="10"/>
    <s v="Yes"/>
  </r>
  <r>
    <x v="3"/>
    <d v="2026-04-08T11:19:36"/>
    <d v="2026-04-08T11:24:27"/>
    <d v="1899-12-30T00:04:51"/>
    <s v="anonymous"/>
    <m/>
    <s v="Weekly"/>
    <m/>
    <n v="5"/>
    <n v="10"/>
    <s v="Yes"/>
  </r>
  <r>
    <x v="4"/>
    <d v="2026-04-08T13:30:49"/>
    <d v="2026-04-08T13:31:25"/>
    <d v="1899-12-30T00:00:36"/>
    <s v="anonymous"/>
    <m/>
    <s v="Weekly"/>
    <s v="More cushioned chairs"/>
    <n v="5"/>
    <n v="10"/>
    <s v="Yes"/>
  </r>
  <r>
    <x v="5"/>
    <d v="2026-04-08T13:44:55"/>
    <d v="2026-04-08T13:45:17"/>
    <d v="1899-12-30T00:00:22"/>
    <s v="anonymous"/>
    <m/>
    <s v="Weekly"/>
    <s v="Music"/>
    <n v="5"/>
    <n v="10"/>
    <s v="Yes"/>
  </r>
  <r>
    <x v="6"/>
    <d v="2026-04-08T14:40:45"/>
    <d v="2026-04-08T14:42:01"/>
    <d v="1899-12-30T00:01:16"/>
    <s v="anonymous"/>
    <m/>
    <s v="Weekly"/>
    <s v="Friendly customer service "/>
    <n v="4"/>
    <n v="8"/>
    <s v="Yes"/>
  </r>
  <r>
    <x v="7"/>
    <d v="2026-04-08T14:43:56"/>
    <d v="2026-04-08T14:44:12"/>
    <d v="1899-12-30T00:00:16"/>
    <s v="anonymous"/>
    <m/>
    <s v="Monthly"/>
    <s v="close shop"/>
    <n v="1"/>
    <n v="0"/>
    <s v="No"/>
  </r>
  <r>
    <x v="8"/>
    <d v="2026-04-09T14:43:45"/>
    <d v="2026-04-09T14:44:10"/>
    <d v="1899-12-30T00:00:25"/>
    <s v="anonymous"/>
    <m/>
    <s v="Daily"/>
    <s v="add more sweetener options plz"/>
    <n v="4"/>
    <n v="1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4F24B-B911-43C6-B150-2C90254440F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A4" firstHeaderRow="1" firstDataRow="1" firstDataCol="0"/>
  <pivotFields count="11">
    <pivotField showAll="0"/>
    <pivotField numFmtId="165" showAll="0"/>
    <pivotField numFmtId="165" showAll="0"/>
    <pivotField numFmtId="45"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How likely are you to recommend us to a friend or colleague?" fld="9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10" totalsRowShown="0">
  <autoFilter ref="A1:K10" xr:uid="{00000000-0009-0000-0100-000001000000}"/>
  <tableColumns count="11">
    <tableColumn id="1" xr3:uid="{00000000-0010-0000-0000-000001000000}" name="Id" dataDxfId="14" totalsRow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3" totalsRowDxfId="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2" totalsRow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39046677-8C77-4DC4-962E-8D9BD72D4CBE}" name="Time to complete" dataDxfId="11" totalsRowDxfId="7">
      <calculatedColumnFormula>C2-B2</calculatedColumnFormula>
    </tableColumn>
    <tableColumn id="4" xr3:uid="{00000000-0010-0000-0000-000004000000}" name="Email" dataDxfId="21" totalsRow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 totalsRow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our coffee shop?" dataDxfId="19" totalsRowDxfId="4">
      <extLst>
        <ext xmlns:xlmsforms="http://schemas.microsoft.com/office/spreadsheetml/2023/msForms" uri="{FCC71383-01E1-4257-9335-427F07BE8D7F}">
          <xlmsforms:question id="r95ae461fa0454343816b8cd4262a2c14"/>
        </ext>
      </extLst>
    </tableColumn>
    <tableColumn id="7" xr3:uid="{00000000-0010-0000-0000-000007000000}" name="What could we do to improve your experience?_x000a_" dataDxfId="18" totalsRowDxfId="3">
      <extLst>
        <ext xmlns:xlmsforms="http://schemas.microsoft.com/office/spreadsheetml/2023/msForms" uri="{FCC71383-01E1-4257-9335-427F07BE8D7F}">
          <xlmsforms:question id="r41ea50eefd124cc897a64aa12c072c4a"/>
        </ext>
      </extLst>
    </tableColumn>
    <tableColumn id="8" xr3:uid="{00000000-0010-0000-0000-000008000000}" name="How would you rate your overall experience at our coffee shop?_x000a_" dataDxfId="17" totalsRowDxfId="2">
      <extLst>
        <ext xmlns:xlmsforms="http://schemas.microsoft.com/office/spreadsheetml/2023/msForms" uri="{FCC71383-01E1-4257-9335-427F07BE8D7F}">
          <xlmsforms:question id="r4512d58944fb4489a7eac68052d748c1"/>
        </ext>
      </extLst>
    </tableColumn>
    <tableColumn id="9" xr3:uid="{00000000-0010-0000-0000-000009000000}" name="How likely are you to recommend us to a friend or colleague?" dataDxfId="16" totalsRowDxfId="1">
      <extLst>
        <ext xmlns:xlmsforms="http://schemas.microsoft.com/office/spreadsheetml/2023/msForms" uri="{FCC71383-01E1-4257-9335-427F07BE8D7F}">
          <xlmsforms:question id="r492466e1f10246cb8ea34d79d9f4b8b0"/>
        </ext>
      </extLst>
    </tableColumn>
    <tableColumn id="10" xr3:uid="{00000000-0010-0000-0000-00000A000000}" name="Would you be interested in a free rewards program?" dataDxfId="15" totalsRowDxfId="0">
      <extLst>
        <ext xmlns:xlmsforms="http://schemas.microsoft.com/office/spreadsheetml/2023/msForms" uri="{FCC71383-01E1-4257-9335-427F07BE8D7F}">
          <xlmsforms:question id="reac36ec60a4f484db758baf8cd5ced8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zRUAxopKldGttM0THUQGPBUQkM0OUdYTExUNTFLNlNTSFJMNEpETkJWTC4u" isFormConnected="1" maxResponseId="9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r95ae461fa0454343816b8cd4262a2c14</xlmsforms:syncedQuestionId>
        <xlmsforms:syncedQuestionId>r41ea50eefd124cc897a64aa12c072c4a</xlmsforms:syncedQuestionId>
        <xlmsforms:syncedQuestionId>r4512d58944fb4489a7eac68052d748c1</xlmsforms:syncedQuestionId>
        <xlmsforms:syncedQuestionId>r492466e1f10246cb8ea34d79d9f4b8b0</xlmsforms:syncedQuestionId>
        <xlmsforms:syncedQuestionId>reac36ec60a4f484db758baf8cd5ced83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opLeftCell="E1" workbookViewId="0">
      <selection activeCell="I20" sqref="I20"/>
    </sheetView>
  </sheetViews>
  <sheetFormatPr defaultRowHeight="14.5" x14ac:dyDescent="0.35"/>
  <cols>
    <col min="1" max="1" width="20" bestFit="1" customWidth="1"/>
    <col min="2" max="3" width="20" style="2" bestFit="1" customWidth="1"/>
    <col min="4" max="4" width="20" style="3" customWidth="1"/>
    <col min="5" max="11" width="20" bestFit="1" customWidth="1"/>
  </cols>
  <sheetData>
    <row r="1" spans="1:11" x14ac:dyDescent="0.35">
      <c r="A1" t="s">
        <v>0</v>
      </c>
      <c r="B1" s="2" t="s">
        <v>1</v>
      </c>
      <c r="C1" s="2" t="s">
        <v>2</v>
      </c>
      <c r="D1" s="3" t="s">
        <v>24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</v>
      </c>
      <c r="B2" s="2">
        <v>46119.951145833336</v>
      </c>
      <c r="C2" s="2">
        <v>46119.951377314814</v>
      </c>
      <c r="D2" s="3">
        <f t="shared" ref="D2:D10" si="0">C2-B2</f>
        <v>2.3148147738538682E-4</v>
      </c>
      <c r="E2" t="s">
        <v>10</v>
      </c>
      <c r="G2" t="s">
        <v>11</v>
      </c>
      <c r="H2" t="s">
        <v>12</v>
      </c>
      <c r="I2">
        <v>5</v>
      </c>
      <c r="J2">
        <v>10</v>
      </c>
      <c r="K2" t="s">
        <v>13</v>
      </c>
    </row>
    <row r="3" spans="1:11" x14ac:dyDescent="0.35">
      <c r="A3">
        <v>2</v>
      </c>
      <c r="B3" s="2">
        <v>46120.372939814813</v>
      </c>
      <c r="C3" s="2">
        <v>46120.373425925929</v>
      </c>
      <c r="D3" s="3">
        <f t="shared" si="0"/>
        <v>4.8611111560603604E-4</v>
      </c>
      <c r="E3" t="s">
        <v>10</v>
      </c>
      <c r="G3" t="s">
        <v>14</v>
      </c>
      <c r="H3" t="s">
        <v>15</v>
      </c>
      <c r="I3">
        <v>4</v>
      </c>
      <c r="J3">
        <v>8</v>
      </c>
      <c r="K3" t="s">
        <v>13</v>
      </c>
    </row>
    <row r="4" spans="1:11" x14ac:dyDescent="0.35">
      <c r="A4">
        <v>3</v>
      </c>
      <c r="B4" s="2">
        <v>46120.411574074074</v>
      </c>
      <c r="C4" s="2">
        <v>46120.412048611113</v>
      </c>
      <c r="D4" s="3">
        <f t="shared" si="0"/>
        <v>4.7453703882638365E-4</v>
      </c>
      <c r="E4" t="s">
        <v>10</v>
      </c>
      <c r="G4" t="s">
        <v>14</v>
      </c>
      <c r="H4" t="s">
        <v>16</v>
      </c>
      <c r="I4">
        <v>5</v>
      </c>
      <c r="J4">
        <v>10</v>
      </c>
      <c r="K4" t="s">
        <v>13</v>
      </c>
    </row>
    <row r="5" spans="1:11" x14ac:dyDescent="0.35">
      <c r="A5">
        <v>4</v>
      </c>
      <c r="B5" s="2">
        <v>46120.471944444442</v>
      </c>
      <c r="C5" s="2">
        <v>46120.475312499999</v>
      </c>
      <c r="D5" s="3">
        <f t="shared" si="0"/>
        <v>3.3680555570754223E-3</v>
      </c>
      <c r="E5" t="s">
        <v>10</v>
      </c>
      <c r="G5" t="s">
        <v>14</v>
      </c>
      <c r="I5">
        <v>5</v>
      </c>
      <c r="J5">
        <v>10</v>
      </c>
      <c r="K5" t="s">
        <v>13</v>
      </c>
    </row>
    <row r="6" spans="1:11" x14ac:dyDescent="0.35">
      <c r="A6">
        <v>5</v>
      </c>
      <c r="B6" s="2">
        <v>46120.563067129631</v>
      </c>
      <c r="C6" s="2">
        <v>46120.563483796293</v>
      </c>
      <c r="D6" s="3">
        <f t="shared" si="0"/>
        <v>4.1666666220407933E-4</v>
      </c>
      <c r="E6" t="s">
        <v>10</v>
      </c>
      <c r="G6" t="s">
        <v>14</v>
      </c>
      <c r="H6" t="s">
        <v>17</v>
      </c>
      <c r="I6">
        <v>5</v>
      </c>
      <c r="J6">
        <v>10</v>
      </c>
      <c r="K6" t="s">
        <v>13</v>
      </c>
    </row>
    <row r="7" spans="1:11" x14ac:dyDescent="0.35">
      <c r="A7">
        <v>6</v>
      </c>
      <c r="B7" s="2">
        <v>46120.572858796295</v>
      </c>
      <c r="C7" s="2">
        <v>46120.573113425926</v>
      </c>
      <c r="D7" s="3">
        <f t="shared" si="0"/>
        <v>2.546296309446916E-4</v>
      </c>
      <c r="E7" t="s">
        <v>10</v>
      </c>
      <c r="G7" t="s">
        <v>14</v>
      </c>
      <c r="H7" t="s">
        <v>18</v>
      </c>
      <c r="I7">
        <v>5</v>
      </c>
      <c r="J7">
        <v>10</v>
      </c>
      <c r="K7" t="s">
        <v>13</v>
      </c>
    </row>
    <row r="8" spans="1:11" x14ac:dyDescent="0.35">
      <c r="A8">
        <v>7</v>
      </c>
      <c r="B8" s="2">
        <v>46120.611631944441</v>
      </c>
      <c r="C8" s="2">
        <v>46120.612511574072</v>
      </c>
      <c r="D8" s="3">
        <f t="shared" si="0"/>
        <v>8.7962963152676821E-4</v>
      </c>
      <c r="E8" t="s">
        <v>10</v>
      </c>
      <c r="G8" t="s">
        <v>14</v>
      </c>
      <c r="H8" t="s">
        <v>19</v>
      </c>
      <c r="I8">
        <v>4</v>
      </c>
      <c r="J8">
        <v>8</v>
      </c>
      <c r="K8" t="s">
        <v>13</v>
      </c>
    </row>
    <row r="9" spans="1:11" x14ac:dyDescent="0.35">
      <c r="A9">
        <v>8</v>
      </c>
      <c r="B9" s="2">
        <v>46120.613842592589</v>
      </c>
      <c r="C9" s="2">
        <v>46120.614027777781</v>
      </c>
      <c r="D9" s="3">
        <f t="shared" si="0"/>
        <v>1.8518519209465012E-4</v>
      </c>
      <c r="E9" t="s">
        <v>10</v>
      </c>
      <c r="G9" t="s">
        <v>20</v>
      </c>
      <c r="H9" t="s">
        <v>21</v>
      </c>
      <c r="I9">
        <v>1</v>
      </c>
      <c r="J9">
        <v>0</v>
      </c>
      <c r="K9" t="s">
        <v>22</v>
      </c>
    </row>
    <row r="10" spans="1:11" x14ac:dyDescent="0.35">
      <c r="A10">
        <v>9</v>
      </c>
      <c r="B10" s="2">
        <v>46121.613715277781</v>
      </c>
      <c r="C10" s="2">
        <v>46121.614004629628</v>
      </c>
      <c r="D10" s="3">
        <f t="shared" si="0"/>
        <v>2.8935184673173353E-4</v>
      </c>
      <c r="E10" t="s">
        <v>10</v>
      </c>
      <c r="G10" t="s">
        <v>11</v>
      </c>
      <c r="H10" t="s">
        <v>23</v>
      </c>
      <c r="I10">
        <v>4</v>
      </c>
      <c r="J10">
        <v>10</v>
      </c>
      <c r="K10" t="s">
        <v>13</v>
      </c>
    </row>
    <row r="11" spans="1:11" x14ac:dyDescent="0.35">
      <c r="D11" s="3">
        <f>AVERAGE(D2:D10)</f>
        <v>7.3173868359946133E-4</v>
      </c>
      <c r="I11">
        <f>AVERAGE(I2:I10)</f>
        <v>4.2222222222222223</v>
      </c>
      <c r="K11">
        <f>COUNTIF(K2:K10, "Yes")</f>
        <v>8</v>
      </c>
    </row>
    <row r="12" spans="1:11" x14ac:dyDescent="0.35">
      <c r="K12">
        <f>COUNTIF(K2:K10, "No")</f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9F4C-5BC5-41C8-AF6A-56B8A4A56A62}">
  <dimension ref="A3:A4"/>
  <sheetViews>
    <sheetView tabSelected="1" workbookViewId="0">
      <selection activeCell="A18" sqref="A18"/>
    </sheetView>
  </sheetViews>
  <sheetFormatPr defaultRowHeight="14.5" x14ac:dyDescent="0.35"/>
  <cols>
    <col min="1" max="2" width="59.26953125" bestFit="1" customWidth="1"/>
    <col min="5" max="5" width="62.7265625" bestFit="1" customWidth="1"/>
  </cols>
  <sheetData>
    <row r="3" spans="1:1" x14ac:dyDescent="0.35">
      <c r="A3" t="s">
        <v>25</v>
      </c>
    </row>
    <row r="4" spans="1:1" x14ac:dyDescent="0.35">
      <c r="A4" s="1">
        <v>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lesley alberto</dc:creator>
  <cp:keywords/>
  <dc:description/>
  <cp:lastModifiedBy>lesley alberto</cp:lastModifiedBy>
  <cp:revision/>
  <dcterms:created xsi:type="dcterms:W3CDTF">2026-04-09T20:56:19Z</dcterms:created>
  <dcterms:modified xsi:type="dcterms:W3CDTF">2026-04-10T03:48:38Z</dcterms:modified>
  <cp:category/>
  <cp:contentStatus/>
</cp:coreProperties>
</file>